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xr:revisionPtr revIDLastSave="0" documentId="13_ncr:1_{931554A2-2840-4DCD-ADC7-EBD3BF4CCD07}" xr6:coauthVersionLast="47" xr6:coauthVersionMax="47" xr10:uidLastSave="{00000000-0000-0000-0000-000000000000}"/>
  <bookViews>
    <workbookView xWindow="-110" yWindow="-16310" windowWidth="29020" windowHeight="15820" xr2:uid="{538D688D-0231-8B48-9466-07E39218469D}"/>
  </bookViews>
  <sheets>
    <sheet name="Invoice" sheetId="1" r:id="rId1"/>
    <sheet name="Customers" sheetId="2" r:id="rId2"/>
    <sheet name="Products" sheetId="4" r:id="rId3"/>
  </sheets>
  <definedNames>
    <definedName name="_xleta.TODAY" hidden="1" xlm="1">#NAME?</definedName>
    <definedName name="_xlnm.Print_Area" localSheetId="0">Invoice!$B$1:$G$31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1" l="1"/>
  <c r="E12" i="1"/>
  <c r="F12" i="1" s="1"/>
  <c r="D6" i="1"/>
  <c r="G5" i="1"/>
  <c r="E16" i="1"/>
  <c r="E17" i="1"/>
  <c r="E18" i="1"/>
  <c r="E19" i="1"/>
  <c r="E14" i="1"/>
  <c r="G14" i="1" s="1"/>
  <c r="E13" i="1"/>
  <c r="G13" i="1"/>
  <c r="G15" i="1"/>
  <c r="G16" i="1"/>
  <c r="G17" i="1"/>
  <c r="G18" i="1"/>
  <c r="G19" i="1"/>
  <c r="F13" i="1"/>
  <c r="F14" i="1"/>
  <c r="F15" i="1"/>
  <c r="F16" i="1"/>
  <c r="F17" i="1"/>
  <c r="F18" i="1"/>
  <c r="F19" i="1"/>
  <c r="G6" i="1"/>
  <c r="D8" i="1"/>
  <c r="D7" i="1"/>
  <c r="G12" i="1" l="1"/>
  <c r="G21" i="1" s="1"/>
  <c r="G22" i="1"/>
  <c r="G23" i="1" l="1"/>
</calcChain>
</file>

<file path=xl/sharedStrings.xml><?xml version="1.0" encoding="utf-8"?>
<sst xmlns="http://schemas.openxmlformats.org/spreadsheetml/2006/main" count="174" uniqueCount="143">
  <si>
    <t>Invoice</t>
  </si>
  <si>
    <t>Description</t>
  </si>
  <si>
    <t>Quantity</t>
  </si>
  <si>
    <t>Unit Price</t>
  </si>
  <si>
    <t>Tax</t>
  </si>
  <si>
    <t>Subtotal USD</t>
  </si>
  <si>
    <t>Total USD</t>
  </si>
  <si>
    <t>Total (exc. Tax)</t>
  </si>
  <si>
    <t>Bank Name:</t>
  </si>
  <si>
    <t>Payment Information</t>
  </si>
  <si>
    <t>Invoice #:</t>
  </si>
  <si>
    <t>Invoice Date:</t>
  </si>
  <si>
    <t>Due Date:</t>
  </si>
  <si>
    <t>FROM:</t>
  </si>
  <si>
    <t>BILL TO:</t>
  </si>
  <si>
    <t>Company</t>
  </si>
  <si>
    <t>Address 1</t>
  </si>
  <si>
    <t>Address 2</t>
  </si>
  <si>
    <t>Contact</t>
  </si>
  <si>
    <t>Bella Vista NSW 2153</t>
  </si>
  <si>
    <t>Australia</t>
  </si>
  <si>
    <t>ABN: 88 000 014 675</t>
  </si>
  <si>
    <t>Woolworths Group</t>
  </si>
  <si>
    <t>Email: info@woolworths.com.au</t>
  </si>
  <si>
    <t>BSB</t>
  </si>
  <si>
    <t>Account Number</t>
  </si>
  <si>
    <t>Account Name:</t>
  </si>
  <si>
    <t>Commonwealth Bank of Australia</t>
  </si>
  <si>
    <t>woolworths group</t>
  </si>
  <si>
    <t>062-000</t>
  </si>
  <si>
    <t>SWIFT/BIC:</t>
  </si>
  <si>
    <t xml:space="preserve">CTBAAU2S </t>
  </si>
  <si>
    <t>15 Harvest Way</t>
  </si>
  <si>
    <t>Dandenong South VIC, Australia</t>
  </si>
  <si>
    <t>sales@freshfarm.com.au</t>
  </si>
  <si>
    <t>Unit 5, 22 Industry Road</t>
  </si>
  <si>
    <t>Kirrawee NSW, Australia</t>
  </si>
  <si>
    <t>info@aussiepack.com.au</t>
  </si>
  <si>
    <t>250 Supply Chain Blvd</t>
  </si>
  <si>
    <t>Brisbane QLD, Australia</t>
  </si>
  <si>
    <t>support@greengro.com.au</t>
  </si>
  <si>
    <t>GreenGro</t>
  </si>
  <si>
    <t>Aussie Packaging</t>
  </si>
  <si>
    <t>FreshFarm Pty Ltd</t>
  </si>
  <si>
    <t>Product ID</t>
  </si>
  <si>
    <t>Product Name</t>
  </si>
  <si>
    <t>Price / Unit (USD)</t>
  </si>
  <si>
    <t>Category</t>
  </si>
  <si>
    <t>P001</t>
  </si>
  <si>
    <t>Bananas (1kg)</t>
  </si>
  <si>
    <t>Fresh Cavendish bananas</t>
  </si>
  <si>
    <t>Fresh Produce</t>
  </si>
  <si>
    <t>P002</t>
  </si>
  <si>
    <t>Pink Lady Apples (1kg)</t>
  </si>
  <si>
    <t>Crisp, sweet pink lady apples</t>
  </si>
  <si>
    <t>P003</t>
  </si>
  <si>
    <t>Seedless Grapes (500g)</t>
  </si>
  <si>
    <t>Fresh green seedless grapes</t>
  </si>
  <si>
    <t>P004</t>
  </si>
  <si>
    <t>Avocado (each)</t>
  </si>
  <si>
    <t>Hass avocado, ripe and ready</t>
  </si>
  <si>
    <t>P005</t>
  </si>
  <si>
    <t>Tomatoes (1kg)</t>
  </si>
  <si>
    <t>Fresh Roma tomatoes</t>
  </si>
  <si>
    <t>P006</t>
  </si>
  <si>
    <t>Broccoli (each)</t>
  </si>
  <si>
    <t>Australian-grown broccoli head</t>
  </si>
  <si>
    <t>P007</t>
  </si>
  <si>
    <t>Carrots (1kg)</t>
  </si>
  <si>
    <t>Sweet crunchy carrots</t>
  </si>
  <si>
    <t>P008</t>
  </si>
  <si>
    <t>Coca-Cola (1.25L)</t>
  </si>
  <si>
    <t>Classic soft drink</t>
  </si>
  <si>
    <t>Beverages</t>
  </si>
  <si>
    <t>P009</t>
  </si>
  <si>
    <t>Pepsi Max (1.25L)</t>
  </si>
  <si>
    <t>Sugar-free cola</t>
  </si>
  <si>
    <t>P010</t>
  </si>
  <si>
    <t>Orange Juice (2L)</t>
  </si>
  <si>
    <t>100% Australian orange juice</t>
  </si>
  <si>
    <t>P011</t>
  </si>
  <si>
    <t>Spring Water (600ml)</t>
  </si>
  <si>
    <t>Natural spring water</t>
  </si>
  <si>
    <t>P012</t>
  </si>
  <si>
    <t>Lipton Iced Tea (1.5L)</t>
  </si>
  <si>
    <t>Peach-flavored iced tea</t>
  </si>
  <si>
    <t>P013</t>
  </si>
  <si>
    <t>Nescafé Instant Coffee (200g)</t>
  </si>
  <si>
    <t>Classic instant coffee blend</t>
  </si>
  <si>
    <t>P014</t>
  </si>
  <si>
    <t>Twinings Green Tea (50pk)</t>
  </si>
  <si>
    <t>Refreshing green tea bags</t>
  </si>
  <si>
    <t>P015</t>
  </si>
  <si>
    <t>Weet-Bix (1.2kg)</t>
  </si>
  <si>
    <t>Australian favourite wholegrain cereal</t>
  </si>
  <si>
    <t>Packaged Foods</t>
  </si>
  <si>
    <t>P016</t>
  </si>
  <si>
    <t>Kellogg’s Corn Flakes (820g)</t>
  </si>
  <si>
    <t>Classic corn flakes</t>
  </si>
  <si>
    <t>P017</t>
  </si>
  <si>
    <t>Barilla Pasta (500g)</t>
  </si>
  <si>
    <t>Premium Italian pasta</t>
  </si>
  <si>
    <t>P018</t>
  </si>
  <si>
    <t>Heinz Baked Beans (420g)</t>
  </si>
  <si>
    <t>Canned baked beans in tomato sauce</t>
  </si>
  <si>
    <t>P019</t>
  </si>
  <si>
    <t>Uncle Ben’s Rice (1kg)</t>
  </si>
  <si>
    <t>Long grain rice</t>
  </si>
  <si>
    <t>P020</t>
  </si>
  <si>
    <t>Arnott’s Tim Tams (200g)</t>
  </si>
  <si>
    <t>Chocolate cream biscuits</t>
  </si>
  <si>
    <t>P021</t>
  </si>
  <si>
    <t>Cadbury Dairy Milk (180g)</t>
  </si>
  <si>
    <t>Classic milk chocolate block</t>
  </si>
  <si>
    <t>P022</t>
  </si>
  <si>
    <t>Omo Laundry Liquid (2L)</t>
  </si>
  <si>
    <t>Tough stain removal detergent</t>
  </si>
  <si>
    <t>Household Essentials</t>
  </si>
  <si>
    <t>P023</t>
  </si>
  <si>
    <t>Dynamo Washing Powder (2kg)</t>
  </si>
  <si>
    <t>Concentrated laundry powder</t>
  </si>
  <si>
    <t>P024</t>
  </si>
  <si>
    <t>Palmolive Dishwashing Liquid (1L)</t>
  </si>
  <si>
    <t>Gentle on hands, tough on grease</t>
  </si>
  <si>
    <t>P025</t>
  </si>
  <si>
    <t>Dettol Surface Spray (500ml)</t>
  </si>
  <si>
    <t>Antibacterial multi-purpose cleaner</t>
  </si>
  <si>
    <t>P026</t>
  </si>
  <si>
    <t>Kleenex Tissues (180pk)</t>
  </si>
  <si>
    <t>Soft 3-ply tissues</t>
  </si>
  <si>
    <t>P027</t>
  </si>
  <si>
    <t>Sorbent Toilet Paper (12pk)</t>
  </si>
  <si>
    <t>Strong and soft toilet tissue</t>
  </si>
  <si>
    <t>P028</t>
  </si>
  <si>
    <t>Glad Cling Wrap (30m)</t>
  </si>
  <si>
    <t>Freshness-preserving cling film</t>
  </si>
  <si>
    <t>P029</t>
  </si>
  <si>
    <t>Colgate Toothpaste (110g)</t>
  </si>
  <si>
    <t>Fluoride protection toothpaste</t>
  </si>
  <si>
    <t>P030</t>
  </si>
  <si>
    <t>Gillette Razor (5pk)</t>
  </si>
  <si>
    <t>Disposable shaving razors</t>
  </si>
  <si>
    <t>Product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</si>
</sst>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[$$-409]#,##0"/>
    <numFmt numFmtId="165" formatCode="[$$-409]#,##0.00"/>
    <numFmt numFmtId="166" formatCode="d/m/yyyy"/>
  </numFmts>
  <fonts count="6" x14ac:knownFonts="1"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7367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2" borderId="0" xfId="0" applyFont="1" applyFill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/>
    <xf numFmtId="0" fontId="4" fillId="2" borderId="0" xfId="0" applyFont="1" applyFill="1" applyAlignment="1">
      <alignment horizontal="center"/>
    </xf>
    <xf numFmtId="0" fontId="0" fillId="0" borderId="4" xfId="0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0" fontId="3" fillId="3" borderId="3" xfId="0" applyFont="1" applyFill="1" applyBorder="1"/>
    <xf numFmtId="165" fontId="3" fillId="3" borderId="3" xfId="0" applyNumberFormat="1" applyFont="1" applyFill="1" applyBorder="1"/>
    <xf numFmtId="0" fontId="4" fillId="2" borderId="5" xfId="0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wrapText="1"/>
    </xf>
    <xf numFmtId="0" fontId="0" fillId="0" borderId="2" xfId="0" applyBorder="1" applyAlignment="1">
      <alignment horizontal="left"/>
    </xf>
    <xf numFmtId="0" fontId="0" fillId="0" borderId="6" xfId="0" applyBorder="1" applyAlignment="1">
      <alignment horizontal="left"/>
    </xf>
    <xf numFmtId="44" fontId="3" fillId="0" borderId="0" xfId="1" applyFont="1" applyAlignment="1">
      <alignment horizontal="center" vertical="center" wrapText="1"/>
    </xf>
    <xf numFmtId="44" fontId="0" fillId="0" borderId="0" xfId="1" applyFont="1" applyAlignment="1">
      <alignment vertical="center" wrapText="1"/>
    </xf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FF99"/>
      <color rgb="FF0736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543517</xdr:colOff>
      <xdr:row>0</xdr:row>
      <xdr:rowOff>64575</xdr:rowOff>
    </xdr:from>
    <xdr:to>
      <xdr:col>6</xdr:col>
      <xdr:colOff>329119</xdr:colOff>
      <xdr:row>2</xdr:row>
      <xdr:rowOff>129152</xdr:rowOff>
    </xdr:to>
    <xdr:pic>
      <xdr:nvPicPr>
        <xdr:cNvPr id="4" name="Picture 3" descr="Easy-to-miss detail in Woolworths supermarket logo stuns social media: 'You  can't unsee it!' | 7NEWS">
          <a:extLst>
            <a:ext uri="{FF2B5EF4-FFF2-40B4-BE49-F238E27FC236}">
              <a16:creationId xmlns:a16="http://schemas.microsoft.com/office/drawing/2014/main" id="{54AFB3DD-ABB1-7C0A-3DBC-181BBC134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7246" y="64575"/>
          <a:ext cx="1443059" cy="10655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4</xdr:row>
          <xdr:rowOff>12700</xdr:rowOff>
        </xdr:from>
        <xdr:to>
          <xdr:col>9</xdr:col>
          <xdr:colOff>6350</xdr:colOff>
          <xdr:row>5</xdr:row>
          <xdr:rowOff>38100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CEFD4-EBD6-5847-9C31-680822D0CE5F}">
  <sheetPr codeName="Sheet1"/>
  <dimension ref="B2:G31"/>
  <sheetViews>
    <sheetView showGridLines="0" tabSelected="1" zoomScale="118" workbookViewId="0">
      <selection activeCell="G2" sqref="G2"/>
    </sheetView>
  </sheetViews>
  <sheetFormatPr defaultColWidth="10.6640625" defaultRowHeight="16" x14ac:dyDescent="0.4"/>
  <cols>
    <col min="2" max="2" width="15.1640625" customWidth="1"/>
    <col min="3" max="3" width="14.83203125" customWidth="1"/>
    <col min="4" max="4" width="15.4140625" customWidth="1"/>
    <col min="5" max="5" width="9.9140625" customWidth="1"/>
    <col min="6" max="6" width="11.83203125" bestFit="1" customWidth="1"/>
    <col min="7" max="7" width="13.5" customWidth="1"/>
    <col min="8" max="8" width="13.1640625" bestFit="1" customWidth="1"/>
  </cols>
  <sheetData>
    <row r="2" spans="2:7" ht="62.5" x14ac:dyDescent="1.4">
      <c r="B2" s="2" t="s">
        <v>0</v>
      </c>
    </row>
    <row r="3" spans="2:7" ht="15" customHeight="1" x14ac:dyDescent="1.4">
      <c r="B3" s="2"/>
    </row>
    <row r="4" spans="2:7" x14ac:dyDescent="0.4">
      <c r="B4" s="3" t="s">
        <v>13</v>
      </c>
      <c r="D4" s="3" t="s">
        <v>14</v>
      </c>
      <c r="F4" s="12" t="s">
        <v>10</v>
      </c>
      <c r="G4" s="5">
        <v>10288</v>
      </c>
    </row>
    <row r="5" spans="2:7" ht="18.5" customHeight="1" x14ac:dyDescent="0.4">
      <c r="B5" s="3" t="s">
        <v>22</v>
      </c>
      <c r="D5" s="23" t="s">
        <v>42</v>
      </c>
      <c r="F5" s="12" t="s">
        <v>11</v>
      </c>
      <c r="G5" s="17">
        <f ca="1">TODAY()</f>
        <v>45929</v>
      </c>
    </row>
    <row r="6" spans="2:7" x14ac:dyDescent="0.4">
      <c r="B6" t="s">
        <v>19</v>
      </c>
      <c r="D6" t="str">
        <f>_xlfn.XLOOKUP($D$5,Customers!B:B,Customers!C:C)</f>
        <v>Unit 5, 22 Industry Road</v>
      </c>
      <c r="F6" s="12" t="s">
        <v>12</v>
      </c>
      <c r="G6" s="17">
        <f ca="1">TODAY() +28</f>
        <v>45957</v>
      </c>
    </row>
    <row r="7" spans="2:7" x14ac:dyDescent="0.4">
      <c r="B7" t="s">
        <v>20</v>
      </c>
      <c r="D7" t="str">
        <f>_xlfn.XLOOKUP($D$5,Customers!B:B,Customers!D:D)</f>
        <v>Kirrawee NSW, Australia</v>
      </c>
    </row>
    <row r="8" spans="2:7" x14ac:dyDescent="0.4">
      <c r="B8" t="s">
        <v>21</v>
      </c>
      <c r="D8" t="str">
        <f>_xlfn.XLOOKUP($D$5,Customers!B:B,Customers!E:E)</f>
        <v>info@aussiepack.com.au</v>
      </c>
    </row>
    <row r="9" spans="2:7" x14ac:dyDescent="0.4">
      <c r="B9" t="s">
        <v>23</v>
      </c>
    </row>
    <row r="10" spans="2:7" ht="20" customHeight="1" x14ac:dyDescent="0.4"/>
    <row r="11" spans="2:7" x14ac:dyDescent="0.4">
      <c r="B11" s="4" t="s">
        <v>142</v>
      </c>
      <c r="C11" s="4"/>
      <c r="D11" s="16" t="s">
        <v>2</v>
      </c>
      <c r="E11" s="10" t="s">
        <v>3</v>
      </c>
      <c r="F11" s="10" t="s">
        <v>4</v>
      </c>
      <c r="G11" s="10" t="s">
        <v>7</v>
      </c>
    </row>
    <row r="12" spans="2:7" x14ac:dyDescent="0.4">
      <c r="B12" s="24" t="s">
        <v>53</v>
      </c>
      <c r="C12" s="25"/>
      <c r="D12" s="7">
        <v>1</v>
      </c>
      <c r="E12" s="8">
        <f>_xlfn.XLOOKUP(B12,Products!C:C,Products!D:D)</f>
        <v>4.5</v>
      </c>
      <c r="F12" s="8">
        <f>IF(D12="","",E12*D12*0.2)</f>
        <v>0.9</v>
      </c>
      <c r="G12" s="8">
        <f>IF(D12="","",D12*E12)</f>
        <v>4.5</v>
      </c>
    </row>
    <row r="13" spans="2:7" x14ac:dyDescent="0.4">
      <c r="B13" s="24" t="s">
        <v>87</v>
      </c>
      <c r="C13" s="25"/>
      <c r="D13" s="7">
        <v>5</v>
      </c>
      <c r="E13" s="8">
        <f>_xlfn.XLOOKUP(B13,Products!C:C,Products!D:D)</f>
        <v>9.5</v>
      </c>
      <c r="F13" s="8">
        <f t="shared" ref="F13:F19" si="0">IF(D13="","",E13*D13*0.2)</f>
        <v>9.5</v>
      </c>
      <c r="G13" s="8">
        <f t="shared" ref="G13:G19" si="1">IF(D13="","",D13*E13)</f>
        <v>47.5</v>
      </c>
    </row>
    <row r="14" spans="2:7" x14ac:dyDescent="0.4">
      <c r="B14" s="24" t="s">
        <v>137</v>
      </c>
      <c r="C14" s="25"/>
      <c r="D14" s="7">
        <v>12</v>
      </c>
      <c r="E14" s="8">
        <f>IF(B14="","",_xlfn.XLOOKUP(B14,Products!C:C,Products!D:D))</f>
        <v>3.9</v>
      </c>
      <c r="F14" s="8">
        <f t="shared" si="0"/>
        <v>9.36</v>
      </c>
      <c r="G14" s="8">
        <f t="shared" si="1"/>
        <v>46.8</v>
      </c>
    </row>
    <row r="15" spans="2:7" x14ac:dyDescent="0.4">
      <c r="B15" s="24"/>
      <c r="C15" s="25"/>
      <c r="D15" s="7"/>
      <c r="E15" s="8" t="str">
        <f>IF(B15="","",_xlfn.XLOOKUP(B15,Products!C:C,Products!D:D))</f>
        <v/>
      </c>
      <c r="F15" s="8" t="str">
        <f t="shared" si="0"/>
        <v/>
      </c>
      <c r="G15" s="8" t="str">
        <f t="shared" si="1"/>
        <v/>
      </c>
    </row>
    <row r="16" spans="2:7" x14ac:dyDescent="0.4">
      <c r="B16" s="24"/>
      <c r="C16" s="25"/>
      <c r="D16" s="7"/>
      <c r="E16" s="8" t="str">
        <f>IF(B16="","",_xlfn.XLOOKUP(B16,Products!C:C,Products!D:D))</f>
        <v/>
      </c>
      <c r="F16" s="8" t="str">
        <f t="shared" si="0"/>
        <v/>
      </c>
      <c r="G16" s="8" t="str">
        <f t="shared" si="1"/>
        <v/>
      </c>
    </row>
    <row r="17" spans="2:7" x14ac:dyDescent="0.4">
      <c r="B17" s="24"/>
      <c r="C17" s="25"/>
      <c r="D17" s="7"/>
      <c r="E17" s="8" t="str">
        <f>IF(B17="","",_xlfn.XLOOKUP(B17,Products!C:C,Products!D:D))</f>
        <v/>
      </c>
      <c r="F17" s="8" t="str">
        <f t="shared" si="0"/>
        <v/>
      </c>
      <c r="G17" s="8" t="str">
        <f t="shared" si="1"/>
        <v/>
      </c>
    </row>
    <row r="18" spans="2:7" x14ac:dyDescent="0.4">
      <c r="B18" s="24"/>
      <c r="C18" s="25"/>
      <c r="D18" s="7"/>
      <c r="E18" s="8" t="str">
        <f>IF(B18="","",_xlfn.XLOOKUP(B18,Products!C:C,Products!D:D))</f>
        <v/>
      </c>
      <c r="F18" s="8" t="str">
        <f t="shared" si="0"/>
        <v/>
      </c>
      <c r="G18" s="8" t="str">
        <f t="shared" si="1"/>
        <v/>
      </c>
    </row>
    <row r="19" spans="2:7" x14ac:dyDescent="0.4">
      <c r="B19" s="24"/>
      <c r="C19" s="25"/>
      <c r="D19" s="7"/>
      <c r="E19" s="8" t="str">
        <f>IF(B19="","",_xlfn.XLOOKUP(B19,Products!C:C,Products!D:D))</f>
        <v/>
      </c>
      <c r="F19" s="8" t="str">
        <f t="shared" si="0"/>
        <v/>
      </c>
      <c r="G19" s="8" t="str">
        <f t="shared" si="1"/>
        <v/>
      </c>
    </row>
    <row r="20" spans="2:7" x14ac:dyDescent="0.4">
      <c r="D20" s="5"/>
      <c r="E20" s="6"/>
      <c r="F20" s="6"/>
      <c r="G20" s="6"/>
    </row>
    <row r="21" spans="2:7" x14ac:dyDescent="0.4">
      <c r="F21" t="s">
        <v>5</v>
      </c>
      <c r="G21" s="9">
        <f>SUM(G12:G19)</f>
        <v>98.8</v>
      </c>
    </row>
    <row r="22" spans="2:7" x14ac:dyDescent="0.4">
      <c r="F22" t="s">
        <v>4</v>
      </c>
      <c r="G22" s="9">
        <f>SUM(F12:F19)</f>
        <v>19.759999999999998</v>
      </c>
    </row>
    <row r="23" spans="2:7" x14ac:dyDescent="0.4">
      <c r="F23" s="14" t="s">
        <v>6</v>
      </c>
      <c r="G23" s="15">
        <f>SUM(G21:G22)</f>
        <v>118.56</v>
      </c>
    </row>
    <row r="24" spans="2:7" ht="16.5" thickBot="1" x14ac:dyDescent="0.45">
      <c r="B24" s="11"/>
      <c r="C24" s="11"/>
      <c r="D24" s="11"/>
      <c r="E24" s="11"/>
      <c r="F24" s="11"/>
      <c r="G24" s="11"/>
    </row>
    <row r="26" spans="2:7" ht="23.5" x14ac:dyDescent="0.55000000000000004">
      <c r="B26" s="1" t="s">
        <v>9</v>
      </c>
      <c r="E26" s="1"/>
    </row>
    <row r="27" spans="2:7" x14ac:dyDescent="0.4">
      <c r="B27" s="13" t="s">
        <v>8</v>
      </c>
      <c r="C27" s="18" t="s">
        <v>27</v>
      </c>
    </row>
    <row r="28" spans="2:7" x14ac:dyDescent="0.4">
      <c r="B28" s="13" t="s">
        <v>26</v>
      </c>
      <c r="C28" s="5" t="s">
        <v>28</v>
      </c>
    </row>
    <row r="29" spans="2:7" x14ac:dyDescent="0.4">
      <c r="B29" s="13" t="s">
        <v>24</v>
      </c>
      <c r="C29" s="5" t="s">
        <v>29</v>
      </c>
    </row>
    <row r="30" spans="2:7" x14ac:dyDescent="0.4">
      <c r="B30" s="13" t="s">
        <v>25</v>
      </c>
      <c r="C30" s="5">
        <v>12345678</v>
      </c>
    </row>
    <row r="31" spans="2:7" x14ac:dyDescent="0.4">
      <c r="B31" s="13" t="s">
        <v>30</v>
      </c>
      <c r="C31" s="5" t="s">
        <v>31</v>
      </c>
    </row>
  </sheetData>
  <mergeCells count="8">
    <mergeCell ref="B18:C18"/>
    <mergeCell ref="B19:C19"/>
    <mergeCell ref="B12:C12"/>
    <mergeCell ref="B13:C13"/>
    <mergeCell ref="B14:C14"/>
    <mergeCell ref="B15:C15"/>
    <mergeCell ref="B16:C16"/>
    <mergeCell ref="B17:C17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PDF">
                <anchor moveWithCells="1" sizeWithCells="1">
                  <from>
                    <xdr:col>8</xdr:col>
                    <xdr:colOff>12700</xdr:colOff>
                    <xdr:row>4</xdr:row>
                    <xdr:rowOff>12700</xdr:rowOff>
                  </from>
                  <to>
                    <xdr:col>9</xdr:col>
                    <xdr:colOff>6350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643C62B-508D-46DF-A38D-5DCEB6852F64}">
          <x14:formula1>
            <xm:f>Customers!$B$2:$B$1048576</xm:f>
          </x14:formula1>
          <xm:sqref>D5</xm:sqref>
        </x14:dataValidation>
        <x14:dataValidation type="list" allowBlank="1" showInputMessage="1" showErrorMessage="1" xr:uid="{80D4BCCF-6DAF-4256-9A6E-AB1731BCAE11}">
          <x14:formula1>
            <xm:f>Products!$C$2:$C$1048576</xm:f>
          </x14:formula1>
          <xm:sqref>B12:C19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EE31-B350-844A-A977-66D729CD2EE2}">
  <sheetPr codeName="Sheet2"/>
  <dimension ref="B1:E4"/>
  <sheetViews>
    <sheetView workbookViewId="0">
      <selection activeCell="E23" sqref="E23"/>
    </sheetView>
  </sheetViews>
  <sheetFormatPr defaultColWidth="10.6640625" defaultRowHeight="16" x14ac:dyDescent="0.4"/>
  <cols>
    <col min="2" max="2" width="15.1640625" customWidth="1"/>
    <col min="3" max="3" width="14.5" bestFit="1" customWidth="1"/>
    <col min="4" max="4" width="21.83203125" bestFit="1" customWidth="1"/>
    <col min="5" max="5" width="24.83203125" customWidth="1"/>
  </cols>
  <sheetData>
    <row r="1" spans="2:5" x14ac:dyDescent="0.4">
      <c r="B1" s="21" t="s">
        <v>15</v>
      </c>
      <c r="C1" s="21" t="s">
        <v>16</v>
      </c>
      <c r="D1" s="21" t="s">
        <v>17</v>
      </c>
      <c r="E1" s="21" t="s">
        <v>18</v>
      </c>
    </row>
    <row r="2" spans="2:5" ht="32" x14ac:dyDescent="0.4">
      <c r="B2" s="22" t="s">
        <v>43</v>
      </c>
      <c r="C2" s="20" t="s">
        <v>32</v>
      </c>
      <c r="D2" s="20" t="s">
        <v>33</v>
      </c>
      <c r="E2" s="20" t="s">
        <v>34</v>
      </c>
    </row>
    <row r="3" spans="2:5" ht="32" x14ac:dyDescent="0.4">
      <c r="B3" s="22" t="s">
        <v>42</v>
      </c>
      <c r="C3" s="20" t="s">
        <v>35</v>
      </c>
      <c r="D3" s="20" t="s">
        <v>36</v>
      </c>
      <c r="E3" s="20" t="s">
        <v>37</v>
      </c>
    </row>
    <row r="4" spans="2:5" ht="32" x14ac:dyDescent="0.4">
      <c r="B4" s="22" t="s">
        <v>41</v>
      </c>
      <c r="C4" s="20" t="s">
        <v>38</v>
      </c>
      <c r="D4" s="20" t="s">
        <v>39</v>
      </c>
      <c r="E4" s="20" t="s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FCD45-1E9A-42C5-96BC-04BD43473C37}">
  <sheetPr codeName="Sheet3"/>
  <dimension ref="B1:F31"/>
  <sheetViews>
    <sheetView workbookViewId="0">
      <selection activeCell="E9" sqref="E9"/>
    </sheetView>
  </sheetViews>
  <sheetFormatPr defaultRowHeight="16" x14ac:dyDescent="0.4"/>
  <cols>
    <col min="2" max="3" width="15" customWidth="1"/>
    <col min="4" max="4" width="15" style="28" customWidth="1"/>
    <col min="5" max="6" width="15" customWidth="1"/>
  </cols>
  <sheetData>
    <row r="1" spans="2:6" ht="32" x14ac:dyDescent="0.4">
      <c r="B1" s="19" t="s">
        <v>44</v>
      </c>
      <c r="C1" s="19" t="s">
        <v>45</v>
      </c>
      <c r="D1" s="26" t="s">
        <v>46</v>
      </c>
      <c r="E1" s="19" t="s">
        <v>1</v>
      </c>
      <c r="F1" s="19" t="s">
        <v>47</v>
      </c>
    </row>
    <row r="2" spans="2:6" ht="32" x14ac:dyDescent="0.4">
      <c r="B2" s="20" t="s">
        <v>48</v>
      </c>
      <c r="C2" s="20" t="s">
        <v>49</v>
      </c>
      <c r="D2" s="27">
        <v>3.2</v>
      </c>
      <c r="E2" s="20" t="s">
        <v>50</v>
      </c>
      <c r="F2" s="20" t="s">
        <v>51</v>
      </c>
    </row>
    <row r="3" spans="2:6" ht="32" x14ac:dyDescent="0.4">
      <c r="B3" s="20" t="s">
        <v>52</v>
      </c>
      <c r="C3" s="20" t="s">
        <v>53</v>
      </c>
      <c r="D3" s="27">
        <v>4.5</v>
      </c>
      <c r="E3" s="20" t="s">
        <v>54</v>
      </c>
      <c r="F3" s="20" t="s">
        <v>51</v>
      </c>
    </row>
    <row r="4" spans="2:6" ht="32" x14ac:dyDescent="0.4">
      <c r="B4" s="20" t="s">
        <v>55</v>
      </c>
      <c r="C4" s="20" t="s">
        <v>56</v>
      </c>
      <c r="D4" s="27">
        <v>5.8</v>
      </c>
      <c r="E4" s="20" t="s">
        <v>57</v>
      </c>
      <c r="F4" s="20" t="s">
        <v>51</v>
      </c>
    </row>
    <row r="5" spans="2:6" ht="32" x14ac:dyDescent="0.4">
      <c r="B5" s="20" t="s">
        <v>58</v>
      </c>
      <c r="C5" s="20" t="s">
        <v>59</v>
      </c>
      <c r="D5" s="27">
        <v>2.8</v>
      </c>
      <c r="E5" s="20" t="s">
        <v>60</v>
      </c>
      <c r="F5" s="20" t="s">
        <v>51</v>
      </c>
    </row>
    <row r="6" spans="2:6" ht="32" x14ac:dyDescent="0.4">
      <c r="B6" s="20" t="s">
        <v>61</v>
      </c>
      <c r="C6" s="20" t="s">
        <v>62</v>
      </c>
      <c r="D6" s="27">
        <v>4.2</v>
      </c>
      <c r="E6" s="20" t="s">
        <v>63</v>
      </c>
      <c r="F6" s="20" t="s">
        <v>51</v>
      </c>
    </row>
    <row r="7" spans="2:6" ht="32" x14ac:dyDescent="0.4">
      <c r="B7" s="20" t="s">
        <v>64</v>
      </c>
      <c r="C7" s="20" t="s">
        <v>65</v>
      </c>
      <c r="D7" s="27">
        <v>3</v>
      </c>
      <c r="E7" s="20" t="s">
        <v>66</v>
      </c>
      <c r="F7" s="20" t="s">
        <v>51</v>
      </c>
    </row>
    <row r="8" spans="2:6" ht="32" x14ac:dyDescent="0.4">
      <c r="B8" s="20" t="s">
        <v>67</v>
      </c>
      <c r="C8" s="20" t="s">
        <v>68</v>
      </c>
      <c r="D8" s="27">
        <v>2.5</v>
      </c>
      <c r="E8" s="20" t="s">
        <v>69</v>
      </c>
      <c r="F8" s="20" t="s">
        <v>51</v>
      </c>
    </row>
    <row r="9" spans="2:6" ht="32" x14ac:dyDescent="0.4">
      <c r="B9" s="20" t="s">
        <v>70</v>
      </c>
      <c r="C9" s="20" t="s">
        <v>71</v>
      </c>
      <c r="D9" s="27">
        <v>3.5</v>
      </c>
      <c r="E9" s="20" t="s">
        <v>72</v>
      </c>
      <c r="F9" s="20" t="s">
        <v>73</v>
      </c>
    </row>
    <row r="10" spans="2:6" x14ac:dyDescent="0.4">
      <c r="B10" s="20" t="s">
        <v>74</v>
      </c>
      <c r="C10" s="20" t="s">
        <v>75</v>
      </c>
      <c r="D10" s="27">
        <v>3.3</v>
      </c>
      <c r="E10" s="20" t="s">
        <v>76</v>
      </c>
      <c r="F10" s="20" t="s">
        <v>73</v>
      </c>
    </row>
    <row r="11" spans="2:6" ht="32" x14ac:dyDescent="0.4">
      <c r="B11" s="20" t="s">
        <v>77</v>
      </c>
      <c r="C11" s="20" t="s">
        <v>78</v>
      </c>
      <c r="D11" s="27">
        <v>5.2</v>
      </c>
      <c r="E11" s="20" t="s">
        <v>79</v>
      </c>
      <c r="F11" s="20" t="s">
        <v>73</v>
      </c>
    </row>
    <row r="12" spans="2:6" ht="32" x14ac:dyDescent="0.4">
      <c r="B12" s="20" t="s">
        <v>80</v>
      </c>
      <c r="C12" s="20" t="s">
        <v>81</v>
      </c>
      <c r="D12" s="27">
        <v>1.2</v>
      </c>
      <c r="E12" s="20" t="s">
        <v>82</v>
      </c>
      <c r="F12" s="20" t="s">
        <v>73</v>
      </c>
    </row>
    <row r="13" spans="2:6" ht="32" x14ac:dyDescent="0.4">
      <c r="B13" s="20" t="s">
        <v>83</v>
      </c>
      <c r="C13" s="20" t="s">
        <v>84</v>
      </c>
      <c r="D13" s="27">
        <v>4.8</v>
      </c>
      <c r="E13" s="20" t="s">
        <v>85</v>
      </c>
      <c r="F13" s="20" t="s">
        <v>73</v>
      </c>
    </row>
    <row r="14" spans="2:6" ht="32" x14ac:dyDescent="0.4">
      <c r="B14" s="20" t="s">
        <v>86</v>
      </c>
      <c r="C14" s="20" t="s">
        <v>87</v>
      </c>
      <c r="D14" s="27">
        <v>9.5</v>
      </c>
      <c r="E14" s="20" t="s">
        <v>88</v>
      </c>
      <c r="F14" s="20" t="s">
        <v>73</v>
      </c>
    </row>
    <row r="15" spans="2:6" ht="32" x14ac:dyDescent="0.4">
      <c r="B15" s="20" t="s">
        <v>89</v>
      </c>
      <c r="C15" s="20" t="s">
        <v>90</v>
      </c>
      <c r="D15" s="27">
        <v>6.2</v>
      </c>
      <c r="E15" s="20" t="s">
        <v>91</v>
      </c>
      <c r="F15" s="20" t="s">
        <v>73</v>
      </c>
    </row>
    <row r="16" spans="2:6" ht="48" x14ac:dyDescent="0.4">
      <c r="B16" s="20" t="s">
        <v>92</v>
      </c>
      <c r="C16" s="20" t="s">
        <v>93</v>
      </c>
      <c r="D16" s="27">
        <v>6.5</v>
      </c>
      <c r="E16" s="20" t="s">
        <v>94</v>
      </c>
      <c r="F16" s="20" t="s">
        <v>95</v>
      </c>
    </row>
    <row r="17" spans="2:6" ht="32" x14ac:dyDescent="0.4">
      <c r="B17" s="20" t="s">
        <v>96</v>
      </c>
      <c r="C17" s="20" t="s">
        <v>97</v>
      </c>
      <c r="D17" s="27">
        <v>5.9</v>
      </c>
      <c r="E17" s="20" t="s">
        <v>98</v>
      </c>
      <c r="F17" s="20" t="s">
        <v>95</v>
      </c>
    </row>
    <row r="18" spans="2:6" ht="32" x14ac:dyDescent="0.4">
      <c r="B18" s="20" t="s">
        <v>99</v>
      </c>
      <c r="C18" s="20" t="s">
        <v>100</v>
      </c>
      <c r="D18" s="27">
        <v>2.6</v>
      </c>
      <c r="E18" s="20" t="s">
        <v>101</v>
      </c>
      <c r="F18" s="20" t="s">
        <v>95</v>
      </c>
    </row>
    <row r="19" spans="2:6" ht="48" x14ac:dyDescent="0.4">
      <c r="B19" s="20" t="s">
        <v>102</v>
      </c>
      <c r="C19" s="20" t="s">
        <v>103</v>
      </c>
      <c r="D19" s="27">
        <v>2.2000000000000002</v>
      </c>
      <c r="E19" s="20" t="s">
        <v>104</v>
      </c>
      <c r="F19" s="20" t="s">
        <v>95</v>
      </c>
    </row>
    <row r="20" spans="2:6" ht="32" x14ac:dyDescent="0.4">
      <c r="B20" s="20" t="s">
        <v>105</v>
      </c>
      <c r="C20" s="20" t="s">
        <v>106</v>
      </c>
      <c r="D20" s="27">
        <v>4.8</v>
      </c>
      <c r="E20" s="20" t="s">
        <v>107</v>
      </c>
      <c r="F20" s="20" t="s">
        <v>95</v>
      </c>
    </row>
    <row r="21" spans="2:6" ht="32" x14ac:dyDescent="0.4">
      <c r="B21" s="20" t="s">
        <v>108</v>
      </c>
      <c r="C21" s="20" t="s">
        <v>109</v>
      </c>
      <c r="D21" s="27">
        <v>3.5</v>
      </c>
      <c r="E21" s="20" t="s">
        <v>110</v>
      </c>
      <c r="F21" s="20" t="s">
        <v>95</v>
      </c>
    </row>
    <row r="22" spans="2:6" ht="32" x14ac:dyDescent="0.4">
      <c r="B22" s="20" t="s">
        <v>111</v>
      </c>
      <c r="C22" s="20" t="s">
        <v>112</v>
      </c>
      <c r="D22" s="27">
        <v>4.2</v>
      </c>
      <c r="E22" s="20" t="s">
        <v>113</v>
      </c>
      <c r="F22" s="20" t="s">
        <v>95</v>
      </c>
    </row>
    <row r="23" spans="2:6" ht="48" x14ac:dyDescent="0.4">
      <c r="B23" s="20" t="s">
        <v>114</v>
      </c>
      <c r="C23" s="20" t="s">
        <v>115</v>
      </c>
      <c r="D23" s="27">
        <v>14</v>
      </c>
      <c r="E23" s="20" t="s">
        <v>116</v>
      </c>
      <c r="F23" s="20" t="s">
        <v>117</v>
      </c>
    </row>
    <row r="24" spans="2:6" ht="32" x14ac:dyDescent="0.4">
      <c r="B24" s="20" t="s">
        <v>118</v>
      </c>
      <c r="C24" s="20" t="s">
        <v>119</v>
      </c>
      <c r="D24" s="27">
        <v>12.5</v>
      </c>
      <c r="E24" s="20" t="s">
        <v>120</v>
      </c>
      <c r="F24" s="20" t="s">
        <v>117</v>
      </c>
    </row>
    <row r="25" spans="2:6" ht="48" x14ac:dyDescent="0.4">
      <c r="B25" s="20" t="s">
        <v>121</v>
      </c>
      <c r="C25" s="20" t="s">
        <v>122</v>
      </c>
      <c r="D25" s="27">
        <v>5.4</v>
      </c>
      <c r="E25" s="20" t="s">
        <v>123</v>
      </c>
      <c r="F25" s="20" t="s">
        <v>117</v>
      </c>
    </row>
    <row r="26" spans="2:6" ht="48" x14ac:dyDescent="0.4">
      <c r="B26" s="20" t="s">
        <v>124</v>
      </c>
      <c r="C26" s="20" t="s">
        <v>125</v>
      </c>
      <c r="D26" s="27">
        <v>6.8</v>
      </c>
      <c r="E26" s="20" t="s">
        <v>126</v>
      </c>
      <c r="F26" s="20" t="s">
        <v>117</v>
      </c>
    </row>
    <row r="27" spans="2:6" ht="32" x14ac:dyDescent="0.4">
      <c r="B27" s="20" t="s">
        <v>127</v>
      </c>
      <c r="C27" s="20" t="s">
        <v>128</v>
      </c>
      <c r="D27" s="27">
        <v>3.2</v>
      </c>
      <c r="E27" s="20" t="s">
        <v>129</v>
      </c>
      <c r="F27" s="20" t="s">
        <v>117</v>
      </c>
    </row>
    <row r="28" spans="2:6" ht="32" x14ac:dyDescent="0.4">
      <c r="B28" s="20" t="s">
        <v>130</v>
      </c>
      <c r="C28" s="20" t="s">
        <v>131</v>
      </c>
      <c r="D28" s="27">
        <v>7.5</v>
      </c>
      <c r="E28" s="20" t="s">
        <v>132</v>
      </c>
      <c r="F28" s="20" t="s">
        <v>117</v>
      </c>
    </row>
    <row r="29" spans="2:6" ht="48" x14ac:dyDescent="0.4">
      <c r="B29" s="20" t="s">
        <v>133</v>
      </c>
      <c r="C29" s="20" t="s">
        <v>134</v>
      </c>
      <c r="D29" s="27">
        <v>4</v>
      </c>
      <c r="E29" s="20" t="s">
        <v>135</v>
      </c>
      <c r="F29" s="20" t="s">
        <v>117</v>
      </c>
    </row>
    <row r="30" spans="2:6" ht="48" x14ac:dyDescent="0.4">
      <c r="B30" s="20" t="s">
        <v>136</v>
      </c>
      <c r="C30" s="20" t="s">
        <v>137</v>
      </c>
      <c r="D30" s="27">
        <v>3.9</v>
      </c>
      <c r="E30" s="20" t="s">
        <v>138</v>
      </c>
      <c r="F30" s="20" t="s">
        <v>117</v>
      </c>
    </row>
    <row r="31" spans="2:6" ht="32" x14ac:dyDescent="0.4">
      <c r="B31" s="20" t="s">
        <v>139</v>
      </c>
      <c r="C31" s="20" t="s">
        <v>140</v>
      </c>
      <c r="D31" s="27">
        <v>12</v>
      </c>
      <c r="E31" s="20" t="s">
        <v>141</v>
      </c>
      <c r="F31" s="20" t="s">
        <v>117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5591FF2B5DCE4EBB5217E5E9439AEB" ma:contentTypeVersion="15" ma:contentTypeDescription="Create a new document." ma:contentTypeScope="" ma:versionID="8c1cb66c6456ea3b838728907be677be">
  <xsd:schema xmlns:xsd="http://www.w3.org/2001/XMLSchema" xmlns:xs="http://www.w3.org/2001/XMLSchema" xmlns:p="http://schemas.microsoft.com/office/2006/metadata/properties" xmlns:ns2="3163de2a-2ec2-45f0-b14d-0af60e6d9ad0" xmlns:ns3="fc19ec23-456b-448c-8a2f-165d14c43f10" targetNamespace="http://schemas.microsoft.com/office/2006/metadata/properties" ma:root="true" ma:fieldsID="ad9bc822c441476fdced3512c9f2c4c4" ns2:_="" ns3:_="">
    <xsd:import namespace="3163de2a-2ec2-45f0-b14d-0af60e6d9ad0"/>
    <xsd:import namespace="fc19ec23-456b-448c-8a2f-165d14c43f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Content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63de2a-2ec2-45f0-b14d-0af60e6d9a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Contents" ma:index="16" nillable="true" ma:displayName="Contents" ma:format="Dropdown" ma:internalName="Contents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02d0fc9f-eb5f-40ac-b597-c984a82382c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19ec23-456b-448c-8a2f-165d14c43f1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4e7c5234-3d00-42a9-a58c-ffdc3b94d10c}" ma:internalName="TaxCatchAll" ma:showField="CatchAllData" ma:web="fc19ec23-456b-448c-8a2f-165d14c43f1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DA91433-1ED0-40FD-A020-E9DE4009B6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63de2a-2ec2-45f0-b14d-0af60e6d9ad0"/>
    <ds:schemaRef ds:uri="fc19ec23-456b-448c-8a2f-165d14c43f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BC89736-0FC6-4DDE-87AE-BE600244250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Invoice</vt:lpstr>
      <vt:lpstr>Customers</vt:lpstr>
      <vt:lpstr>Products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Career Principles</dc:creator>
  <cp:lastModifiedBy>Gia Thach Nguyen</cp:lastModifiedBy>
  <cp:lastPrinted>2025-09-29T02:44:17Z</cp:lastPrinted>
  <dcterms:created xsi:type="dcterms:W3CDTF">2024-03-25T07:20:42Z</dcterms:created>
  <dcterms:modified xsi:type="dcterms:W3CDTF">2025-09-29T11:54:20Z</dcterms:modified>
</cp:coreProperties>
</file>